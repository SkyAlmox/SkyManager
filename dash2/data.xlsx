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5E06C451-DE0D-4AF2-A09B-54D068A250DF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!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2" i="2" l="1"/>
  <c r="N41" i="2"/>
  <c r="N40" i="2"/>
  <c r="N39" i="2"/>
  <c r="N7" i="1"/>
  <c r="N6" i="1"/>
  <c r="N38" i="2"/>
  <c r="F37" i="2"/>
  <c r="H37" i="2"/>
  <c r="J37" i="2"/>
  <c r="N37" i="2"/>
  <c r="B7" i="1"/>
  <c r="F36" i="2"/>
  <c r="H36" i="2"/>
  <c r="J36" i="2"/>
  <c r="N36" i="2"/>
  <c r="F35" i="2"/>
  <c r="H35" i="2"/>
  <c r="J35" i="2"/>
  <c r="N35" i="2"/>
  <c r="F34" i="2"/>
  <c r="H34" i="2"/>
  <c r="J34" i="2"/>
  <c r="N34" i="2"/>
  <c r="F33" i="2"/>
  <c r="H33" i="2"/>
  <c r="J33" i="2"/>
  <c r="N33" i="2"/>
  <c r="F32" i="2"/>
  <c r="H32" i="2"/>
  <c r="J32" i="2"/>
  <c r="N32" i="2"/>
  <c r="F31" i="2"/>
  <c r="H31" i="2"/>
  <c r="J31" i="2"/>
  <c r="N31" i="2"/>
  <c r="F30" i="2"/>
  <c r="H30" i="2"/>
  <c r="J30" i="2"/>
  <c r="N30" i="2"/>
  <c r="F29" i="2"/>
  <c r="H29" i="2"/>
  <c r="J29" i="2"/>
  <c r="N29" i="2"/>
  <c r="F28" i="2"/>
  <c r="H28" i="2"/>
  <c r="J28" i="2"/>
  <c r="N28" i="2"/>
  <c r="F27" i="2"/>
  <c r="H27" i="2"/>
  <c r="J27" i="2"/>
  <c r="N27" i="2"/>
  <c r="K7" i="1"/>
  <c r="K6" i="1"/>
  <c r="F26" i="2"/>
  <c r="H26" i="2"/>
  <c r="J26" i="2"/>
  <c r="N26" i="2"/>
  <c r="F25" i="2"/>
  <c r="H25" i="2"/>
  <c r="J25" i="2"/>
  <c r="N25" i="2"/>
  <c r="F24" i="2"/>
  <c r="H24" i="2"/>
  <c r="J24" i="2"/>
  <c r="N24" i="2"/>
  <c r="F23" i="2"/>
  <c r="H23" i="2"/>
  <c r="J23" i="2"/>
  <c r="N23" i="2"/>
  <c r="F22" i="2"/>
  <c r="H22" i="2"/>
  <c r="J22" i="2"/>
  <c r="N22" i="2"/>
  <c r="F21" i="2"/>
  <c r="H21" i="2"/>
  <c r="J21" i="2"/>
  <c r="N21" i="2"/>
  <c r="F20" i="2"/>
  <c r="H20" i="2"/>
  <c r="J20" i="2"/>
  <c r="N20" i="2"/>
  <c r="H7" i="1"/>
  <c r="H6" i="1"/>
  <c r="F19" i="2"/>
  <c r="H19" i="2"/>
  <c r="J19" i="2"/>
  <c r="N19" i="2"/>
  <c r="F18" i="2"/>
  <c r="H18" i="2"/>
  <c r="J18" i="2"/>
  <c r="N18" i="2"/>
  <c r="F17" i="2"/>
  <c r="H17" i="2"/>
  <c r="J17" i="2"/>
  <c r="N17" i="2"/>
  <c r="F16" i="2"/>
  <c r="H16" i="2"/>
  <c r="J16" i="2"/>
  <c r="N16" i="2"/>
  <c r="F15" i="2"/>
  <c r="H15" i="2"/>
  <c r="J15" i="2"/>
  <c r="N15" i="2"/>
  <c r="F14" i="2"/>
  <c r="H14" i="2"/>
  <c r="J14" i="2"/>
  <c r="N14" i="2"/>
  <c r="E6" i="1"/>
  <c r="B6" i="1"/>
  <c r="E7" i="1"/>
  <c r="F13" i="2"/>
  <c r="H13" i="2"/>
  <c r="J13" i="2"/>
  <c r="N13" i="2"/>
  <c r="F12" i="2"/>
  <c r="H12" i="2"/>
  <c r="J12" i="2"/>
  <c r="N12" i="2"/>
  <c r="N11" i="2"/>
  <c r="F10" i="2"/>
  <c r="H10" i="2"/>
  <c r="J10" i="2"/>
  <c r="N10" i="2"/>
  <c r="F9" i="2"/>
  <c r="H9" i="2"/>
  <c r="J9" i="2"/>
  <c r="N9" i="2"/>
  <c r="F8" i="2"/>
  <c r="H8" i="2"/>
  <c r="J8" i="2"/>
  <c r="N8" i="2"/>
  <c r="N7" i="2"/>
  <c r="N6" i="2"/>
  <c r="F5" i="2"/>
  <c r="H5" i="2"/>
  <c r="J5" i="2"/>
  <c r="N5" i="2"/>
  <c r="F4" i="2"/>
  <c r="H4" i="2"/>
  <c r="J4" i="2"/>
  <c r="N4" i="2"/>
  <c r="F3" i="2"/>
  <c r="H3" i="2"/>
  <c r="J3" i="2"/>
  <c r="N3" i="2"/>
  <c r="F2" i="2"/>
  <c r="J2" i="2"/>
  <c r="H2" i="2"/>
  <c r="N2" i="2"/>
</calcChain>
</file>

<file path=xl/sharedStrings.xml><?xml version="1.0" encoding="utf-8"?>
<sst xmlns="http://schemas.openxmlformats.org/spreadsheetml/2006/main" count="248" uniqueCount="51">
  <si>
    <t>BOX P</t>
  </si>
  <si>
    <t>BOX M</t>
  </si>
  <si>
    <t>BOX G</t>
  </si>
  <si>
    <t>SACO</t>
  </si>
  <si>
    <t>BOX AZUL</t>
  </si>
  <si>
    <t>x</t>
  </si>
  <si>
    <t>TOTAL</t>
  </si>
  <si>
    <t>PROPORCAO</t>
  </si>
  <si>
    <t>DATA</t>
  </si>
  <si>
    <t>DESCRICAO</t>
  </si>
  <si>
    <t>CATEGORIA / TIPO</t>
  </si>
  <si>
    <t>MATERIAL</t>
  </si>
  <si>
    <t>DIAMETRO CABECA (mm)</t>
  </si>
  <si>
    <t>DIAMETRO CABECA (in)</t>
  </si>
  <si>
    <t>DIAMETRO ROSCA (mm)</t>
  </si>
  <si>
    <t>DIAMETRO ROSCA (in)</t>
  </si>
  <si>
    <t>COMPRIMENTO ROSCA (mm)</t>
  </si>
  <si>
    <t>COMPRIMENTO ROSCA (in)</t>
  </si>
  <si>
    <t>UNIDADE</t>
  </si>
  <si>
    <t>QUANTIDADE</t>
  </si>
  <si>
    <t>PRECO UNIT.</t>
  </si>
  <si>
    <t>PRECO TOTAL</t>
  </si>
  <si>
    <t>NF</t>
  </si>
  <si>
    <t>FORNECEDOR</t>
  </si>
  <si>
    <t>QUANT. MIN.</t>
  </si>
  <si>
    <t>LOCALIZACAO</t>
  </si>
  <si>
    <t>OBSERVACAO</t>
  </si>
  <si>
    <t>PARAFUSO</t>
  </si>
  <si>
    <t>CHATA / PHILLIPS</t>
  </si>
  <si>
    <t>ZINCO</t>
  </si>
  <si>
    <t>UN</t>
  </si>
  <si>
    <t>REDONDA / PHILLIPS</t>
  </si>
  <si>
    <t>MDF 275 X 184 X 06 MM</t>
  </si>
  <si>
    <t>BP CARVALHO HANOVER DESIGN 275 X 184 X 06 MM 1F-DURATEX</t>
  </si>
  <si>
    <t>MDF</t>
  </si>
  <si>
    <t>-</t>
  </si>
  <si>
    <t>MADEIREIRA PALOWA LTDA</t>
  </si>
  <si>
    <t>MDF CRU 275 X 185 X 18 MM</t>
  </si>
  <si>
    <t>GUARARAPES 275 X 185 X 18 MM GUARARAPES</t>
  </si>
  <si>
    <t>ACO CARBONO</t>
  </si>
  <si>
    <t>ELETRODO</t>
  </si>
  <si>
    <t>KG</t>
  </si>
  <si>
    <t>CASA SUL LTDA</t>
  </si>
  <si>
    <t>INOX</t>
  </si>
  <si>
    <t>TAMPA ACABAMENTO CANOPLA 18 X 10 X 5 MM</t>
  </si>
  <si>
    <t>TAMPA / ACABAMENTO</t>
  </si>
  <si>
    <t>ARRUELA 17 X 9 X 1 MM</t>
  </si>
  <si>
    <t>LATAO</t>
  </si>
  <si>
    <t>ARRUELA 13 X 5 X 1 MM</t>
  </si>
  <si>
    <t>ARRUELA 15 X 8 X 1 MM</t>
  </si>
  <si>
    <t>ARRUELA 19 X 10 X 1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</si>
</sst>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[$R$-416]\ * #,##0.00_-;\-[$R$-416]\ * #,##0.00_-;_-[$R$-416]\ * &quot;-&quot;??_-;_-@_-"/>
    <numFmt numFmtId="165" formatCode="#\ ??/16"/>
    <numFmt numFmtId="166" formatCode="0.0000"/>
  </numFmts>
  <fonts count="3">
    <font>
      <sz val="11"/>
      <color theme="1"/>
      <name val="Aptos Narrow"/>
      <family val="2"/>
      <scheme val="minor"/>
    </font>
    <font>
      <sz val="10"/>
      <color theme="1"/>
      <name val="Courier New"/>
    </font>
    <font>
      <b/>
      <sz val="10"/>
      <color theme="1"/>
      <name val="Courier Ne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43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 wrapText="1"/>
    </xf>
    <xf numFmtId="166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numFmt numFmtId="35" formatCode="_-* #,##0.00_-;\-* #,##0.00_-;_-* &quot;-&quot;??_-;_-@_-"/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numFmt numFmtId="164" formatCode="_-[$R$-416]\ * #,##0.00_-;\-[$R$-416]\ * #,##0.00_-;_-[$R$-416]\ * &quot;-&quot;??_-;_-@_-"/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numFmt numFmtId="164" formatCode="_-[$R$-416]\ * #,##0.00_-;\-[$R$-416]\ * #,##0.00_-;_-[$R$-416]\ * &quot;-&quot;??_-;_-@_-"/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numFmt numFmtId="164" formatCode="_-[$R$-416]\ * #,##0.00_-;\-[$R$-416]\ * #,##0.00_-;_-[$R$-416]\ * &quot;-&quot;??_-;_-@_-"/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numFmt numFmtId="164" formatCode="_-[$R$-416]\ * #,##0.00_-;\-[$R$-416]\ * #,##0.00_-;_-[$R$-416]\ * &quot;-&quot;??_-;_-@_-"/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numFmt numFmtId="35" formatCode="_-* #,##0.00_-;\-* #,##0.00_-;_-* &quot;-&quot;??_-;_-@_-"/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numFmt numFmtId="165" formatCode="#\ ??/16"/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numFmt numFmtId="165" formatCode="#\ ??/16"/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numFmt numFmtId="165" formatCode="#\ ??/16"/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65A78C-FEED-4175-84A1-8521D4F22ED3}" name="Tabela1" displayName="Tabela1" ref="A1:S42" totalsRowShown="0" headerRowDxfId="23" dataDxfId="22" headerRowBorderDxfId="20" tableBorderDxfId="21" totalsRowBorderDxfId="19">
  <autoFilter ref="A1:S42" xr:uid="{4B65A78C-FEED-4175-84A1-8521D4F22ED3}"/>
  <tableColumns count="19">
    <tableColumn id="1" xr3:uid="{5F8AC72A-A15A-4E10-9ED7-3BA5C4DAB17A}" name="DATA" dataDxfId="18"/>
    <tableColumn id="2" xr3:uid="{A1AC0E71-6B37-4055-A48D-3F7A68E226B3}" name="DESCRICAO" dataDxfId="17"/>
    <tableColumn id="3" xr3:uid="{675AE9DC-7ECE-453C-8D03-DA4CBD1152DA}" name="CATEGORIA / TIPO" dataDxfId="16"/>
    <tableColumn id="4" xr3:uid="{1F357500-6E37-4A77-B4D4-07F9450033A2}" name="MATERIAL" dataDxfId="15"/>
    <tableColumn id="18" xr3:uid="{FD84E169-D726-4C8A-B8BF-075E136AB9A5}" name="DIAMETRO CABECA (mm)" dataDxfId="14"/>
    <tableColumn id="17" xr3:uid="{53E92A60-6356-4EF3-8965-193E815C3562}" name="DIAMETRO CABECA (in)" dataDxfId="13">
      <calculatedColumnFormula>CONVERT(E2,"mm","in")</calculatedColumnFormula>
    </tableColumn>
    <tableColumn id="5" xr3:uid="{007263A4-0132-4770-8AE9-B21774BEB53F}" name="DIAMETRO ROSCA (mm)" dataDxfId="12"/>
    <tableColumn id="6" xr3:uid="{66FEA80B-B59D-416A-8F8A-2195A1C7F5E7}" name="DIAMETRO ROSCA (in)" dataDxfId="11">
      <calculatedColumnFormula>CONVERT(G2,"mm","in")</calculatedColumnFormula>
    </tableColumn>
    <tableColumn id="7" xr3:uid="{94104AD2-6513-4E9E-B5D1-DC7CD4177AE4}" name="COMPRIMENTO ROSCA (mm)" dataDxfId="10"/>
    <tableColumn id="8" xr3:uid="{7AFE2B39-79EC-48B8-909D-98196199A03C}" name="COMPRIMENTO ROSCA (in)" dataDxfId="9">
      <calculatedColumnFormula>CONVERT(I2,"mm","in")</calculatedColumnFormula>
    </tableColumn>
    <tableColumn id="9" xr3:uid="{36B5A4A1-76C6-48FC-9A7A-9D05565A3EE8}" name="UNIDADE" dataDxfId="8"/>
    <tableColumn id="10" xr3:uid="{9CA3A53B-43A4-4A45-A27E-3951615EA56C}" name="QUANTIDADE" dataDxfId="7"/>
    <tableColumn id="11" xr3:uid="{5DEA0628-A099-41C3-88E7-FB9FB30198F1}" name="PRECO UNIT." dataDxfId="6"/>
    <tableColumn id="12" xr3:uid="{B1C378B0-3E9D-4659-89FF-2EBBA92784D1}" name="PRECO TOTAL" dataDxfId="5">
      <calculatedColumnFormula>L2*M2</calculatedColumnFormula>
    </tableColumn>
    <tableColumn id="19" xr3:uid="{3A7A9192-8661-40CF-BAFD-2FABCE538912}" name="NF" dataDxfId="4"/>
    <tableColumn id="20" xr3:uid="{3FE4F51C-BE51-418A-A93C-905CF2F13FB2}" name="FORNECEDOR" dataDxfId="3"/>
    <tableColumn id="13" xr3:uid="{6E2ED144-9822-43EF-91C6-EBEA98281B96}" name="QUANT. MIN." dataDxfId="2"/>
    <tableColumn id="14" xr3:uid="{FB035452-0FE5-48B4-898F-E71ADBA6C8D2}" name="LOCALIZACAO" dataDxfId="1"/>
    <tableColumn id="15" xr3:uid="{EC1A4782-6F95-4961-93CE-8C06F9DC1E54}" name="OBSERVACA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workbookViewId="0">
      <selection activeCell="B5" sqref="B5"/>
    </sheetView>
  </sheetViews>
  <sheetFormatPr defaultColWidth="15.7109375" defaultRowHeight="24.75" customHeight="1"/>
  <cols>
    <col min="1" max="16384" width="15.7109375" style="1"/>
  </cols>
  <sheetData>
    <row r="1" spans="1:14" ht="24.75" customHeight="1">
      <c r="A1" s="1" t="s">
        <v>0</v>
      </c>
      <c r="B1" s="1">
        <v>80</v>
      </c>
      <c r="D1" s="1" t="s">
        <v>1</v>
      </c>
      <c r="E1" s="1">
        <v>234</v>
      </c>
      <c r="G1" s="1" t="s">
        <v>2</v>
      </c>
      <c r="H1" s="1">
        <v>460</v>
      </c>
      <c r="J1" s="1" t="s">
        <v>3</v>
      </c>
      <c r="K1" s="1">
        <v>2</v>
      </c>
      <c r="M1" s="1" t="s">
        <v>4</v>
      </c>
      <c r="N1" s="1">
        <v>242</v>
      </c>
    </row>
    <row r="3" spans="1:14" ht="24.75" customHeight="1">
      <c r="A3" s="1">
        <v>10</v>
      </c>
      <c r="B3" s="1">
        <v>20</v>
      </c>
      <c r="D3" s="1">
        <v>6</v>
      </c>
      <c r="E3" s="1">
        <v>6</v>
      </c>
      <c r="G3" s="1">
        <v>5</v>
      </c>
      <c r="J3" s="1">
        <v>10</v>
      </c>
      <c r="K3" s="1">
        <v>14</v>
      </c>
      <c r="M3" s="1">
        <v>10</v>
      </c>
      <c r="N3" s="1">
        <v>6</v>
      </c>
    </row>
    <row r="4" spans="1:14" ht="24.75" customHeight="1">
      <c r="A4" s="1" t="s">
        <v>5</v>
      </c>
      <c r="B4" s="1">
        <v>766</v>
      </c>
      <c r="D4" s="1" t="s">
        <v>5</v>
      </c>
      <c r="E4" s="1">
        <v>4208</v>
      </c>
      <c r="G4" s="1" t="s">
        <v>5</v>
      </c>
      <c r="J4" s="1" t="s">
        <v>5</v>
      </c>
      <c r="K4" s="1">
        <v>576</v>
      </c>
      <c r="M4" s="1" t="s">
        <v>5</v>
      </c>
      <c r="N4" s="1">
        <v>2062</v>
      </c>
    </row>
    <row r="6" spans="1:14" ht="24.75" customHeight="1">
      <c r="A6" s="1" t="s">
        <v>6</v>
      </c>
      <c r="B6" s="8">
        <f>A3*(B4-B1)/B3</f>
        <v>343</v>
      </c>
      <c r="D6" s="1" t="s">
        <v>6</v>
      </c>
      <c r="E6" s="8">
        <f>D3*(E4-E1)/E3</f>
        <v>3974</v>
      </c>
      <c r="G6" s="1" t="s">
        <v>6</v>
      </c>
      <c r="H6" s="8" t="e">
        <f>G3*(H4-H1)/H3</f>
        <v>#DIV/0!</v>
      </c>
      <c r="J6" s="1" t="s">
        <v>6</v>
      </c>
      <c r="K6" s="8">
        <f>J3*(K4-K1)/K3</f>
        <v>410</v>
      </c>
      <c r="M6" s="1" t="s">
        <v>6</v>
      </c>
      <c r="N6" s="8">
        <f>M3*(N4-N1)/N3</f>
        <v>3033.3333333333335</v>
      </c>
    </row>
    <row r="7" spans="1:14" ht="24.75" customHeight="1">
      <c r="A7" s="1" t="s">
        <v>7</v>
      </c>
      <c r="B7" s="10">
        <f>A3/B3</f>
        <v>0.5</v>
      </c>
      <c r="D7" s="1" t="s">
        <v>7</v>
      </c>
      <c r="E7" s="10">
        <f>D3/E3</f>
        <v>1</v>
      </c>
      <c r="G7" s="1" t="s">
        <v>7</v>
      </c>
      <c r="H7" s="10" t="e">
        <f>G3/H3</f>
        <v>#DIV/0!</v>
      </c>
      <c r="J7" s="1" t="s">
        <v>7</v>
      </c>
      <c r="K7" s="10">
        <f>J3/K3</f>
        <v>0.7142857142857143</v>
      </c>
      <c r="M7" s="1" t="s">
        <v>7</v>
      </c>
      <c r="N7" s="10">
        <f>M3/N3</f>
        <v>1.6666666666666667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A766B-E77D-47BA-871B-06064430727A}">
  <dimension ref="A1:S42"/>
  <sheetViews>
    <sheetView tabSelected="1" topLeftCell="A30" workbookViewId="0">
      <selection activeCell="M43" sqref="M43"/>
    </sheetView>
  </sheetViews>
  <sheetFormatPr defaultColWidth="15.7109375" defaultRowHeight="24.75" customHeight="1"/>
  <cols>
    <col min="1" max="1" width="15.7109375" style="2"/>
    <col min="2" max="2" width="45.7109375" style="2" customWidth="1"/>
    <col min="3" max="3" width="18" style="2" bestFit="1" customWidth="1"/>
    <col min="4" max="6" width="15.7109375" style="2"/>
    <col min="7" max="8" width="17.5703125" style="2" bestFit="1" customWidth="1"/>
    <col min="9" max="10" width="18" style="2" bestFit="1" customWidth="1"/>
    <col min="11" max="16384" width="15.7109375" style="2"/>
  </cols>
  <sheetData>
    <row r="1" spans="1:19" ht="50.25" customHeight="1">
      <c r="A1" s="7" t="s">
        <v>8</v>
      </c>
      <c r="B1" s="7" t="s">
        <v>9</v>
      </c>
      <c r="C1" s="7" t="s">
        <v>10</v>
      </c>
      <c r="D1" s="7" t="s">
        <v>11</v>
      </c>
      <c r="E1" s="7" t="s">
        <v>12</v>
      </c>
      <c r="F1" s="7" t="s">
        <v>13</v>
      </c>
      <c r="G1" s="7" t="s">
        <v>14</v>
      </c>
      <c r="H1" s="7" t="s">
        <v>15</v>
      </c>
      <c r="I1" s="7" t="s">
        <v>16</v>
      </c>
      <c r="J1" s="7" t="s">
        <v>17</v>
      </c>
      <c r="K1" s="7" t="s">
        <v>18</v>
      </c>
      <c r="L1" s="7" t="s">
        <v>19</v>
      </c>
      <c r="M1" s="7" t="s">
        <v>20</v>
      </c>
      <c r="N1" s="7" t="s">
        <v>21</v>
      </c>
      <c r="O1" s="7" t="s">
        <v>22</v>
      </c>
      <c r="P1" s="7" t="s">
        <v>23</v>
      </c>
      <c r="Q1" s="7" t="s">
        <v>24</v>
      </c>
      <c r="R1" s="7" t="s">
        <v>25</v>
      </c>
      <c r="S1" s="7" t="s">
        <v>26</v>
      </c>
    </row>
    <row r="2" spans="1:19" ht="24.75" customHeight="1">
      <c r="A2" s="4">
        <v>46007</v>
      </c>
      <c r="B2" s="3" t="s">
        <v>27</v>
      </c>
      <c r="C2" s="3" t="s">
        <v>28</v>
      </c>
      <c r="D2" s="3" t="s">
        <v>29</v>
      </c>
      <c r="E2" s="3">
        <v>10</v>
      </c>
      <c r="F2" s="9">
        <f>CONVERT(E2,"mm","in")</f>
        <v>0.39370078740157483</v>
      </c>
      <c r="G2" s="3">
        <v>5</v>
      </c>
      <c r="H2" s="9">
        <f>CONVERT(G2,"mm","in")</f>
        <v>0.19685039370078741</v>
      </c>
      <c r="I2" s="3">
        <v>9</v>
      </c>
      <c r="J2" s="9">
        <f>CONVERT(I2,"mm","in")</f>
        <v>0.3543307086614173</v>
      </c>
      <c r="K2" s="3" t="s">
        <v>30</v>
      </c>
      <c r="L2" s="5">
        <v>189</v>
      </c>
      <c r="M2" s="6">
        <v>0</v>
      </c>
      <c r="N2" s="6">
        <f>L2*M2</f>
        <v>0</v>
      </c>
      <c r="O2" s="6"/>
      <c r="P2" s="6"/>
      <c r="Q2" s="5">
        <v>0</v>
      </c>
      <c r="R2" s="3"/>
      <c r="S2" s="3"/>
    </row>
    <row r="3" spans="1:19" ht="24.75" customHeight="1">
      <c r="A3" s="4">
        <v>46007</v>
      </c>
      <c r="B3" s="3" t="s">
        <v>27</v>
      </c>
      <c r="C3" s="3" t="s">
        <v>28</v>
      </c>
      <c r="D3" s="3" t="s">
        <v>29</v>
      </c>
      <c r="E3" s="3">
        <v>9</v>
      </c>
      <c r="F3" s="9">
        <f>CONVERT(E3,"mm","in")</f>
        <v>0.3543307086614173</v>
      </c>
      <c r="G3" s="3">
        <v>5</v>
      </c>
      <c r="H3" s="9">
        <f>CONVERT(G3,"mm","in")</f>
        <v>0.19685039370078741</v>
      </c>
      <c r="I3" s="3">
        <v>15</v>
      </c>
      <c r="J3" s="9">
        <f>CONVERT(I3,"mm","in")</f>
        <v>0.59055118110236215</v>
      </c>
      <c r="K3" s="3" t="s">
        <v>30</v>
      </c>
      <c r="L3" s="5">
        <v>655</v>
      </c>
      <c r="M3" s="6">
        <v>0</v>
      </c>
      <c r="N3" s="6">
        <f>L3*M3</f>
        <v>0</v>
      </c>
      <c r="O3" s="6"/>
      <c r="P3" s="6"/>
      <c r="Q3" s="5"/>
      <c r="R3" s="3"/>
      <c r="S3" s="3"/>
    </row>
    <row r="4" spans="1:19" ht="24.75" customHeight="1">
      <c r="A4" s="4">
        <v>46007</v>
      </c>
      <c r="B4" s="3" t="s">
        <v>27</v>
      </c>
      <c r="C4" s="3" t="s">
        <v>28</v>
      </c>
      <c r="D4" s="3" t="s">
        <v>29</v>
      </c>
      <c r="E4" s="3">
        <v>10</v>
      </c>
      <c r="F4" s="9">
        <f>CONVERT(E4,"mm","in")</f>
        <v>0.39370078740157483</v>
      </c>
      <c r="G4" s="3">
        <v>5</v>
      </c>
      <c r="H4" s="9">
        <f>CONVERT(G4,"mm","in")</f>
        <v>0.19685039370078741</v>
      </c>
      <c r="I4" s="3">
        <v>20</v>
      </c>
      <c r="J4" s="9">
        <f>CONVERT(I4,"mm","in")</f>
        <v>0.78740157480314965</v>
      </c>
      <c r="K4" s="3" t="s">
        <v>30</v>
      </c>
      <c r="L4" s="5">
        <v>2145</v>
      </c>
      <c r="M4" s="6">
        <v>0</v>
      </c>
      <c r="N4" s="6">
        <f>L4*M4</f>
        <v>0</v>
      </c>
      <c r="O4" s="6"/>
      <c r="P4" s="6"/>
      <c r="Q4" s="5"/>
      <c r="R4" s="3"/>
      <c r="S4" s="3"/>
    </row>
    <row r="5" spans="1:19" ht="24.75" customHeight="1">
      <c r="A5" s="4">
        <v>46007</v>
      </c>
      <c r="B5" s="3" t="s">
        <v>27</v>
      </c>
      <c r="C5" s="3" t="s">
        <v>31</v>
      </c>
      <c r="D5" s="3" t="s">
        <v>29</v>
      </c>
      <c r="E5" s="3">
        <v>9</v>
      </c>
      <c r="F5" s="9">
        <f>CONVERT(E5,"mm","in")</f>
        <v>0.3543307086614173</v>
      </c>
      <c r="G5" s="3">
        <v>5</v>
      </c>
      <c r="H5" s="9">
        <f>CONVERT(G5,"mm","in")</f>
        <v>0.19685039370078741</v>
      </c>
      <c r="I5" s="3">
        <v>20</v>
      </c>
      <c r="J5" s="9">
        <f>CONVERT(I5,"mm","in")</f>
        <v>0.78740157480314965</v>
      </c>
      <c r="K5" s="3" t="s">
        <v>30</v>
      </c>
      <c r="L5" s="5">
        <v>5075</v>
      </c>
      <c r="M5" s="6">
        <v>0</v>
      </c>
      <c r="N5" s="6">
        <f>L5*M5</f>
        <v>0</v>
      </c>
      <c r="O5" s="6"/>
      <c r="P5" s="6"/>
      <c r="Q5" s="5"/>
      <c r="R5" s="3"/>
      <c r="S5" s="3"/>
    </row>
    <row r="6" spans="1:19" ht="24.75" customHeight="1">
      <c r="A6" s="4">
        <v>46007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35</v>
      </c>
      <c r="G6" s="3" t="s">
        <v>35</v>
      </c>
      <c r="H6" s="3" t="s">
        <v>35</v>
      </c>
      <c r="I6" s="3" t="s">
        <v>35</v>
      </c>
      <c r="J6" s="3" t="s">
        <v>35</v>
      </c>
      <c r="K6" s="3" t="s">
        <v>30</v>
      </c>
      <c r="L6" s="5">
        <v>1</v>
      </c>
      <c r="M6" s="6">
        <v>390.91</v>
      </c>
      <c r="N6" s="6">
        <f>L6*M6</f>
        <v>390.91</v>
      </c>
      <c r="O6" s="11">
        <v>214110</v>
      </c>
      <c r="P6" s="11" t="s">
        <v>36</v>
      </c>
      <c r="Q6" s="5"/>
      <c r="R6" s="3"/>
      <c r="S6" s="3"/>
    </row>
    <row r="7" spans="1:19" ht="24.75" customHeight="1">
      <c r="A7" s="4">
        <v>46007</v>
      </c>
      <c r="B7" s="3" t="s">
        <v>37</v>
      </c>
      <c r="C7" s="3" t="s">
        <v>38</v>
      </c>
      <c r="D7" s="3" t="s">
        <v>34</v>
      </c>
      <c r="E7" s="3" t="s">
        <v>35</v>
      </c>
      <c r="F7" s="3" t="s">
        <v>35</v>
      </c>
      <c r="G7" s="3" t="s">
        <v>35</v>
      </c>
      <c r="H7" s="3" t="s">
        <v>35</v>
      </c>
      <c r="I7" s="3" t="s">
        <v>35</v>
      </c>
      <c r="J7" s="3" t="s">
        <v>35</v>
      </c>
      <c r="K7" s="3" t="s">
        <v>30</v>
      </c>
      <c r="L7" s="5">
        <v>1</v>
      </c>
      <c r="M7" s="6">
        <v>270.95</v>
      </c>
      <c r="N7" s="6">
        <f>L7*M7</f>
        <v>270.95</v>
      </c>
      <c r="O7" s="11">
        <v>214110</v>
      </c>
      <c r="P7" s="11" t="s">
        <v>36</v>
      </c>
      <c r="Q7" s="5"/>
      <c r="R7" s="3"/>
      <c r="S7" s="3"/>
    </row>
    <row r="8" spans="1:19" ht="24.75" customHeight="1">
      <c r="A8" s="4">
        <v>46007</v>
      </c>
      <c r="B8" s="3" t="s">
        <v>27</v>
      </c>
      <c r="C8" s="3" t="s">
        <v>31</v>
      </c>
      <c r="D8" s="3" t="s">
        <v>29</v>
      </c>
      <c r="E8" s="3">
        <v>8</v>
      </c>
      <c r="F8" s="9">
        <f>CONVERT(E8,"mm","in")</f>
        <v>0.31496062992125984</v>
      </c>
      <c r="G8" s="3">
        <v>2</v>
      </c>
      <c r="H8" s="9">
        <f>CONVERT(G8,"mm","in")</f>
        <v>7.874015748031496E-2</v>
      </c>
      <c r="I8" s="3">
        <v>20</v>
      </c>
      <c r="J8" s="9">
        <f>CONVERT(I8,"mm","in")</f>
        <v>0.78740157480314965</v>
      </c>
      <c r="K8" s="3" t="s">
        <v>30</v>
      </c>
      <c r="L8" s="5">
        <v>772</v>
      </c>
      <c r="M8" s="6">
        <v>0</v>
      </c>
      <c r="N8" s="6">
        <f>L8*M8</f>
        <v>0</v>
      </c>
      <c r="O8" s="6"/>
      <c r="P8" s="6"/>
      <c r="Q8" s="5"/>
      <c r="R8" s="3"/>
      <c r="S8" s="3"/>
    </row>
    <row r="9" spans="1:19" ht="24.75" customHeight="1">
      <c r="A9" s="4">
        <v>46007</v>
      </c>
      <c r="B9" s="3" t="s">
        <v>27</v>
      </c>
      <c r="C9" s="3" t="s">
        <v>31</v>
      </c>
      <c r="D9" s="3" t="s">
        <v>29</v>
      </c>
      <c r="E9" s="3">
        <v>5</v>
      </c>
      <c r="F9" s="9">
        <f>CONVERT(E9,"mm","in")</f>
        <v>0.19685039370078741</v>
      </c>
      <c r="G9" s="3">
        <v>4</v>
      </c>
      <c r="H9" s="9">
        <f>CONVERT(G9,"mm","in")</f>
        <v>0.15748031496062992</v>
      </c>
      <c r="I9" s="3">
        <v>25</v>
      </c>
      <c r="J9" s="9">
        <f>CONVERT(I9,"mm","in")</f>
        <v>0.98425196850393704</v>
      </c>
      <c r="K9" s="3" t="s">
        <v>30</v>
      </c>
      <c r="L9" s="5">
        <v>1271</v>
      </c>
      <c r="M9" s="6">
        <v>0</v>
      </c>
      <c r="N9" s="6">
        <f>L9*M9</f>
        <v>0</v>
      </c>
      <c r="O9" s="6"/>
      <c r="P9" s="6"/>
      <c r="Q9" s="5"/>
      <c r="R9" s="3"/>
      <c r="S9" s="3"/>
    </row>
    <row r="10" spans="1:19" ht="24.75" customHeight="1">
      <c r="A10" s="4">
        <v>46007</v>
      </c>
      <c r="B10" s="3" t="s">
        <v>27</v>
      </c>
      <c r="C10" s="3" t="s">
        <v>31</v>
      </c>
      <c r="D10" s="3" t="s">
        <v>39</v>
      </c>
      <c r="E10" s="3">
        <v>8</v>
      </c>
      <c r="F10" s="9">
        <f>CONVERT(E10,"mm","in")</f>
        <v>0.31496062992125984</v>
      </c>
      <c r="G10" s="3">
        <v>4</v>
      </c>
      <c r="H10" s="9">
        <f>CONVERT(G10,"mm","in")</f>
        <v>0.15748031496062992</v>
      </c>
      <c r="I10" s="3">
        <v>15</v>
      </c>
      <c r="J10" s="9">
        <f>CONVERT(I10,"mm","in")</f>
        <v>0.59055118110236215</v>
      </c>
      <c r="K10" s="3" t="s">
        <v>30</v>
      </c>
      <c r="L10" s="5">
        <v>81</v>
      </c>
      <c r="M10" s="6">
        <v>0</v>
      </c>
      <c r="N10" s="6">
        <f>L10*M10</f>
        <v>0</v>
      </c>
      <c r="O10" s="6"/>
      <c r="P10" s="6"/>
      <c r="Q10" s="5"/>
      <c r="R10" s="3"/>
      <c r="S10" s="3"/>
    </row>
    <row r="11" spans="1:19" ht="24.75" customHeight="1">
      <c r="A11" s="4">
        <v>46007</v>
      </c>
      <c r="B11" s="3" t="s">
        <v>40</v>
      </c>
      <c r="C11" s="3"/>
      <c r="D11" s="3"/>
      <c r="E11" s="3" t="s">
        <v>35</v>
      </c>
      <c r="F11" s="9" t="s">
        <v>35</v>
      </c>
      <c r="G11" s="3" t="s">
        <v>35</v>
      </c>
      <c r="H11" s="9" t="s">
        <v>35</v>
      </c>
      <c r="I11" s="3" t="s">
        <v>35</v>
      </c>
      <c r="J11" s="9" t="s">
        <v>35</v>
      </c>
      <c r="K11" s="3" t="s">
        <v>41</v>
      </c>
      <c r="L11" s="5">
        <v>1</v>
      </c>
      <c r="M11" s="6">
        <v>21.9</v>
      </c>
      <c r="N11" s="6">
        <f>L11*M11</f>
        <v>21.9</v>
      </c>
      <c r="O11" s="6"/>
      <c r="P11" s="6" t="s">
        <v>42</v>
      </c>
      <c r="Q11" s="5"/>
      <c r="R11" s="3"/>
      <c r="S11" s="3"/>
    </row>
    <row r="12" spans="1:19" ht="24.75" customHeight="1">
      <c r="A12" s="4">
        <v>46007</v>
      </c>
      <c r="B12" s="3" t="s">
        <v>27</v>
      </c>
      <c r="C12" s="3" t="s">
        <v>28</v>
      </c>
      <c r="D12" s="3" t="s">
        <v>29</v>
      </c>
      <c r="E12" s="3">
        <v>9</v>
      </c>
      <c r="F12" s="9">
        <f>CONVERT(E12,"mm","in")</f>
        <v>0.3543307086614173</v>
      </c>
      <c r="G12" s="3">
        <v>5</v>
      </c>
      <c r="H12" s="9">
        <f>CONVERT(G12,"mm","in")</f>
        <v>0.19685039370078741</v>
      </c>
      <c r="I12" s="3">
        <v>15</v>
      </c>
      <c r="J12" s="9">
        <f>CONVERT(I12,"mm","in")</f>
        <v>0.59055118110236215</v>
      </c>
      <c r="K12" s="3" t="s">
        <v>30</v>
      </c>
      <c r="L12" s="5">
        <v>480</v>
      </c>
      <c r="M12" s="6">
        <v>0</v>
      </c>
      <c r="N12" s="6">
        <f>L12*M12</f>
        <v>0</v>
      </c>
      <c r="O12" s="6"/>
      <c r="P12" s="6"/>
      <c r="Q12" s="5"/>
      <c r="R12" s="3"/>
      <c r="S12" s="3"/>
    </row>
    <row r="13" spans="1:19" ht="24.75" customHeight="1">
      <c r="A13" s="4">
        <v>46007</v>
      </c>
      <c r="B13" s="3" t="s">
        <v>27</v>
      </c>
      <c r="C13" s="3" t="s">
        <v>31</v>
      </c>
      <c r="D13" s="3" t="s">
        <v>29</v>
      </c>
      <c r="E13" s="3">
        <v>10</v>
      </c>
      <c r="F13" s="9">
        <f>CONVERT(E13,"mm","in")</f>
        <v>0.39370078740157483</v>
      </c>
      <c r="G13" s="3">
        <v>5</v>
      </c>
      <c r="H13" s="9">
        <f>CONVERT(G13,"mm","in")</f>
        <v>0.19685039370078741</v>
      </c>
      <c r="I13" s="3">
        <v>20</v>
      </c>
      <c r="J13" s="9">
        <f>CONVERT(I13,"mm","in")</f>
        <v>0.78740157480314965</v>
      </c>
      <c r="K13" s="3" t="s">
        <v>30</v>
      </c>
      <c r="L13" s="5">
        <v>306</v>
      </c>
      <c r="M13" s="6">
        <v>0</v>
      </c>
      <c r="N13" s="6">
        <f>L13*M13</f>
        <v>0</v>
      </c>
      <c r="O13" s="6"/>
      <c r="P13" s="6"/>
      <c r="Q13" s="5"/>
      <c r="R13" s="3"/>
      <c r="S13" s="3"/>
    </row>
    <row r="14" spans="1:19" ht="24.75" customHeight="1">
      <c r="A14" s="4">
        <v>46007</v>
      </c>
      <c r="B14" s="3" t="s">
        <v>27</v>
      </c>
      <c r="C14" s="3" t="s">
        <v>31</v>
      </c>
      <c r="D14" s="3" t="s">
        <v>29</v>
      </c>
      <c r="E14" s="3">
        <v>12</v>
      </c>
      <c r="F14" s="9">
        <f>CONVERT(E14,"mm","in")</f>
        <v>0.47244094488188981</v>
      </c>
      <c r="G14" s="3">
        <v>5</v>
      </c>
      <c r="H14" s="9">
        <f>CONVERT(G14,"mm","in")</f>
        <v>0.19685039370078741</v>
      </c>
      <c r="I14" s="3">
        <v>55</v>
      </c>
      <c r="J14" s="9">
        <f>CONVERT(I14,"mm","in")</f>
        <v>2.1653543307086616</v>
      </c>
      <c r="K14" s="3" t="s">
        <v>30</v>
      </c>
      <c r="L14" s="5">
        <v>40</v>
      </c>
      <c r="M14" s="6">
        <v>0</v>
      </c>
      <c r="N14" s="6">
        <f>L14*M14</f>
        <v>0</v>
      </c>
      <c r="O14" s="6"/>
      <c r="P14" s="6"/>
      <c r="Q14" s="5"/>
      <c r="R14" s="3"/>
      <c r="S14" s="3"/>
    </row>
    <row r="15" spans="1:19" ht="24.75" customHeight="1">
      <c r="A15" s="4">
        <v>46007</v>
      </c>
      <c r="B15" s="3" t="s">
        <v>27</v>
      </c>
      <c r="C15" s="3" t="s">
        <v>31</v>
      </c>
      <c r="D15" s="3" t="s">
        <v>29</v>
      </c>
      <c r="E15" s="3">
        <v>17</v>
      </c>
      <c r="F15" s="9">
        <f>CONVERT(E15,"mm","in")</f>
        <v>0.6692913385826772</v>
      </c>
      <c r="G15" s="3">
        <v>5</v>
      </c>
      <c r="H15" s="9">
        <f>CONVERT(G15,"mm","in")</f>
        <v>0.19685039370078741</v>
      </c>
      <c r="I15" s="3">
        <v>75</v>
      </c>
      <c r="J15" s="9">
        <f>CONVERT(I15,"mm","in")</f>
        <v>2.9527559055118111</v>
      </c>
      <c r="K15" s="3" t="s">
        <v>30</v>
      </c>
      <c r="L15" s="5">
        <v>162</v>
      </c>
      <c r="M15" s="6">
        <v>0</v>
      </c>
      <c r="N15" s="6">
        <f>L15*M15</f>
        <v>0</v>
      </c>
      <c r="O15" s="6"/>
      <c r="P15" s="6"/>
      <c r="Q15" s="5"/>
      <c r="R15" s="3"/>
      <c r="S15" s="3"/>
    </row>
    <row r="16" spans="1:19" ht="24.75" customHeight="1">
      <c r="A16" s="4">
        <v>46007</v>
      </c>
      <c r="B16" s="3" t="s">
        <v>27</v>
      </c>
      <c r="C16" s="3" t="s">
        <v>28</v>
      </c>
      <c r="D16" s="3" t="s">
        <v>29</v>
      </c>
      <c r="E16" s="3">
        <v>8</v>
      </c>
      <c r="F16" s="9">
        <f>CONVERT(E16,"mm","in")</f>
        <v>0.31496062992125984</v>
      </c>
      <c r="G16" s="3">
        <v>4</v>
      </c>
      <c r="H16" s="9">
        <f>CONVERT(G16,"mm","in")</f>
        <v>0.15748031496062992</v>
      </c>
      <c r="I16" s="3">
        <v>17</v>
      </c>
      <c r="J16" s="9">
        <f>CONVERT(I16,"mm","in")</f>
        <v>0.6692913385826772</v>
      </c>
      <c r="K16" s="3" t="s">
        <v>30</v>
      </c>
      <c r="L16" s="5">
        <v>467</v>
      </c>
      <c r="M16" s="6">
        <v>0</v>
      </c>
      <c r="N16" s="6">
        <f>L16*M16</f>
        <v>0</v>
      </c>
      <c r="O16" s="6"/>
      <c r="P16" s="6"/>
      <c r="Q16" s="5"/>
      <c r="R16" s="3"/>
      <c r="S16" s="3"/>
    </row>
    <row r="17" spans="1:19" ht="24.75" customHeight="1">
      <c r="A17" s="4">
        <v>46007</v>
      </c>
      <c r="B17" s="3" t="s">
        <v>27</v>
      </c>
      <c r="C17" s="3" t="s">
        <v>31</v>
      </c>
      <c r="D17" s="3" t="s">
        <v>43</v>
      </c>
      <c r="E17" s="3">
        <v>5</v>
      </c>
      <c r="F17" s="9">
        <f>CONVERT(E17,"mm","in")</f>
        <v>0.19685039370078741</v>
      </c>
      <c r="G17" s="3">
        <v>4</v>
      </c>
      <c r="H17" s="9">
        <f>CONVERT(G17,"mm","in")</f>
        <v>0.15748031496062992</v>
      </c>
      <c r="I17" s="3">
        <v>10</v>
      </c>
      <c r="J17" s="9">
        <f>CONVERT(I17,"mm","in")</f>
        <v>0.39370078740157483</v>
      </c>
      <c r="K17" s="3" t="s">
        <v>30</v>
      </c>
      <c r="L17" s="5">
        <v>16867</v>
      </c>
      <c r="M17" s="6">
        <v>0</v>
      </c>
      <c r="N17" s="6">
        <f>L17*M17</f>
        <v>0</v>
      </c>
      <c r="O17" s="6"/>
      <c r="P17" s="6"/>
      <c r="Q17" s="5"/>
      <c r="R17" s="3"/>
      <c r="S17" s="3"/>
    </row>
    <row r="18" spans="1:19" ht="24.75" customHeight="1">
      <c r="A18" s="4">
        <v>46007</v>
      </c>
      <c r="B18" s="3" t="s">
        <v>27</v>
      </c>
      <c r="C18" s="3" t="s">
        <v>28</v>
      </c>
      <c r="D18" s="3" t="s">
        <v>29</v>
      </c>
      <c r="E18" s="3">
        <v>14</v>
      </c>
      <c r="F18" s="9">
        <f>CONVERT(E18,"mm","in")</f>
        <v>0.55118110236220474</v>
      </c>
      <c r="G18" s="3">
        <v>5</v>
      </c>
      <c r="H18" s="9">
        <f>CONVERT(G18,"mm","in")</f>
        <v>0.19685039370078741</v>
      </c>
      <c r="I18" s="3">
        <v>45</v>
      </c>
      <c r="J18" s="9">
        <f>CONVERT(I18,"mm","in")</f>
        <v>1.7716535433070868</v>
      </c>
      <c r="K18" s="3" t="s">
        <v>30</v>
      </c>
      <c r="L18" s="5">
        <v>33</v>
      </c>
      <c r="M18" s="6">
        <v>0</v>
      </c>
      <c r="N18" s="6">
        <f>L18*M18</f>
        <v>0</v>
      </c>
      <c r="O18" s="6"/>
      <c r="P18" s="6"/>
      <c r="Q18" s="5"/>
      <c r="R18" s="3"/>
      <c r="S18" s="3"/>
    </row>
    <row r="19" spans="1:19" ht="24.75" customHeight="1">
      <c r="A19" s="4">
        <v>46008</v>
      </c>
      <c r="B19" s="3" t="s">
        <v>27</v>
      </c>
      <c r="C19" s="3" t="s">
        <v>28</v>
      </c>
      <c r="D19" s="3" t="s">
        <v>39</v>
      </c>
      <c r="E19" s="3">
        <v>14</v>
      </c>
      <c r="F19" s="9">
        <f>CONVERT(E19,"mm","in")</f>
        <v>0.55118110236220474</v>
      </c>
      <c r="G19" s="3">
        <v>8</v>
      </c>
      <c r="H19" s="9">
        <f>CONVERT(G19,"mm","in")</f>
        <v>0.31496062992125984</v>
      </c>
      <c r="I19" s="3">
        <v>20</v>
      </c>
      <c r="J19" s="9">
        <f>CONVERT(I19,"mm","in")</f>
        <v>0.78740157480314965</v>
      </c>
      <c r="K19" s="3" t="s">
        <v>30</v>
      </c>
      <c r="L19" s="5">
        <v>459</v>
      </c>
      <c r="M19" s="6">
        <v>0</v>
      </c>
      <c r="N19" s="6">
        <f>L19*M19</f>
        <v>0</v>
      </c>
      <c r="O19" s="6"/>
      <c r="P19" s="6"/>
      <c r="Q19" s="5"/>
      <c r="R19" s="3"/>
      <c r="S19" s="3"/>
    </row>
    <row r="20" spans="1:19" ht="24.75" customHeight="1">
      <c r="A20" s="4">
        <v>46008</v>
      </c>
      <c r="B20" s="3" t="s">
        <v>27</v>
      </c>
      <c r="C20" s="3" t="s">
        <v>28</v>
      </c>
      <c r="D20" s="3" t="s">
        <v>39</v>
      </c>
      <c r="E20" s="3">
        <v>14</v>
      </c>
      <c r="F20" s="9">
        <f>CONVERT(E20,"mm","in")</f>
        <v>0.55118110236220474</v>
      </c>
      <c r="G20" s="3">
        <v>8</v>
      </c>
      <c r="H20" s="9">
        <f>CONVERT(G20,"mm","in")</f>
        <v>0.31496062992125984</v>
      </c>
      <c r="I20" s="3">
        <v>25</v>
      </c>
      <c r="J20" s="9">
        <f>CONVERT(I20,"mm","in")</f>
        <v>0.98425196850393704</v>
      </c>
      <c r="K20" s="3" t="s">
        <v>30</v>
      </c>
      <c r="L20" s="5">
        <v>177</v>
      </c>
      <c r="M20" s="6">
        <v>0</v>
      </c>
      <c r="N20" s="6">
        <f>L20*M20</f>
        <v>0</v>
      </c>
      <c r="O20" s="6"/>
      <c r="P20" s="6"/>
      <c r="Q20" s="5"/>
      <c r="R20" s="3"/>
      <c r="S20" s="3"/>
    </row>
    <row r="21" spans="1:19" ht="24.75" customHeight="1">
      <c r="A21" s="4">
        <v>46008</v>
      </c>
      <c r="B21" s="3" t="s">
        <v>27</v>
      </c>
      <c r="C21" s="3" t="s">
        <v>28</v>
      </c>
      <c r="D21" s="3" t="s">
        <v>39</v>
      </c>
      <c r="E21" s="3">
        <v>8</v>
      </c>
      <c r="F21" s="9">
        <f>CONVERT(E21,"mm","in")</f>
        <v>0.31496062992125984</v>
      </c>
      <c r="G21" s="3">
        <v>4</v>
      </c>
      <c r="H21" s="9">
        <f>CONVERT(G21,"mm","in")</f>
        <v>0.15748031496062992</v>
      </c>
      <c r="I21" s="3">
        <v>25</v>
      </c>
      <c r="J21" s="9">
        <f>CONVERT(I21,"mm","in")</f>
        <v>0.98425196850393704</v>
      </c>
      <c r="K21" s="3" t="s">
        <v>30</v>
      </c>
      <c r="L21" s="5">
        <v>720</v>
      </c>
      <c r="M21" s="6">
        <v>0</v>
      </c>
      <c r="N21" s="6">
        <f>L21*M21</f>
        <v>0</v>
      </c>
      <c r="O21" s="6"/>
      <c r="P21" s="6"/>
      <c r="Q21" s="5"/>
      <c r="R21" s="3"/>
      <c r="S21" s="3"/>
    </row>
    <row r="22" spans="1:19" ht="24.75" customHeight="1">
      <c r="A22" s="4">
        <v>46008</v>
      </c>
      <c r="B22" s="3" t="s">
        <v>27</v>
      </c>
      <c r="C22" s="3" t="s">
        <v>31</v>
      </c>
      <c r="D22" s="3" t="s">
        <v>39</v>
      </c>
      <c r="E22" s="3">
        <v>10</v>
      </c>
      <c r="F22" s="9">
        <f>CONVERT(E22,"mm","in")</f>
        <v>0.39370078740157483</v>
      </c>
      <c r="G22" s="3">
        <v>5</v>
      </c>
      <c r="H22" s="9">
        <f>CONVERT(G22,"mm","in")</f>
        <v>0.19685039370078741</v>
      </c>
      <c r="I22" s="3">
        <v>17</v>
      </c>
      <c r="J22" s="9">
        <f>CONVERT(I22,"mm","in")</f>
        <v>0.6692913385826772</v>
      </c>
      <c r="K22" s="3" t="s">
        <v>30</v>
      </c>
      <c r="L22" s="5">
        <v>106</v>
      </c>
      <c r="M22" s="6">
        <v>0</v>
      </c>
      <c r="N22" s="6">
        <f>L22*M22</f>
        <v>0</v>
      </c>
      <c r="O22" s="6"/>
      <c r="P22" s="6"/>
      <c r="Q22" s="5"/>
      <c r="R22" s="3"/>
      <c r="S22" s="3"/>
    </row>
    <row r="23" spans="1:19" ht="24.75" customHeight="1">
      <c r="A23" s="4">
        <v>46008</v>
      </c>
      <c r="B23" s="3" t="s">
        <v>27</v>
      </c>
      <c r="C23" s="3" t="s">
        <v>31</v>
      </c>
      <c r="D23" s="3" t="s">
        <v>39</v>
      </c>
      <c r="E23" s="3">
        <v>16</v>
      </c>
      <c r="F23" s="9">
        <f>CONVERT(E23,"mm","in")</f>
        <v>0.62992125984251968</v>
      </c>
      <c r="G23" s="3">
        <v>5</v>
      </c>
      <c r="H23" s="9">
        <f>CONVERT(G23,"mm","in")</f>
        <v>0.19685039370078741</v>
      </c>
      <c r="I23" s="3">
        <v>20</v>
      </c>
      <c r="J23" s="9">
        <f>CONVERT(I23,"mm","in")</f>
        <v>0.78740157480314965</v>
      </c>
      <c r="K23" s="3" t="s">
        <v>30</v>
      </c>
      <c r="L23" s="5">
        <v>203</v>
      </c>
      <c r="M23" s="6">
        <v>0</v>
      </c>
      <c r="N23" s="6">
        <f>L23*M23</f>
        <v>0</v>
      </c>
      <c r="O23" s="6"/>
      <c r="P23" s="6"/>
      <c r="Q23" s="5"/>
      <c r="R23" s="3"/>
      <c r="S23" s="3"/>
    </row>
    <row r="24" spans="1:19" ht="24.75" customHeight="1">
      <c r="A24" s="4">
        <v>46008</v>
      </c>
      <c r="B24" s="3" t="s">
        <v>27</v>
      </c>
      <c r="C24" s="3" t="s">
        <v>28</v>
      </c>
      <c r="D24" s="3" t="s">
        <v>39</v>
      </c>
      <c r="E24" s="3">
        <v>10</v>
      </c>
      <c r="F24" s="9">
        <f>CONVERT(E24,"mm","in")</f>
        <v>0.39370078740157483</v>
      </c>
      <c r="G24" s="3">
        <v>5</v>
      </c>
      <c r="H24" s="9">
        <f>CONVERT(G24,"mm","in")</f>
        <v>0.19685039370078741</v>
      </c>
      <c r="I24" s="3">
        <v>55</v>
      </c>
      <c r="J24" s="9">
        <f>CONVERT(I24,"mm","in")</f>
        <v>2.1653543307086616</v>
      </c>
      <c r="K24" s="3" t="s">
        <v>30</v>
      </c>
      <c r="L24" s="5">
        <v>86</v>
      </c>
      <c r="M24" s="6">
        <v>0</v>
      </c>
      <c r="N24" s="6">
        <f>L24*M24</f>
        <v>0</v>
      </c>
      <c r="O24" s="6"/>
      <c r="P24" s="6"/>
      <c r="Q24" s="5"/>
      <c r="R24" s="3"/>
      <c r="S24" s="3"/>
    </row>
    <row r="25" spans="1:19" ht="24.75" customHeight="1">
      <c r="A25" s="4">
        <v>46008</v>
      </c>
      <c r="B25" s="3" t="s">
        <v>27</v>
      </c>
      <c r="C25" s="3" t="s">
        <v>28</v>
      </c>
      <c r="D25" s="3" t="s">
        <v>39</v>
      </c>
      <c r="E25" s="3">
        <v>8</v>
      </c>
      <c r="F25" s="9">
        <f>CONVERT(E25,"mm","in")</f>
        <v>0.31496062992125984</v>
      </c>
      <c r="G25" s="3">
        <v>4</v>
      </c>
      <c r="H25" s="9">
        <f>CONVERT(G25,"mm","in")</f>
        <v>0.15748031496062992</v>
      </c>
      <c r="I25" s="3">
        <v>45</v>
      </c>
      <c r="J25" s="9">
        <f>CONVERT(I25,"mm","in")</f>
        <v>1.7716535433070868</v>
      </c>
      <c r="K25" s="3" t="s">
        <v>30</v>
      </c>
      <c r="L25" s="5">
        <v>248</v>
      </c>
      <c r="M25" s="6">
        <v>0</v>
      </c>
      <c r="N25" s="6">
        <f>L25*M25</f>
        <v>0</v>
      </c>
      <c r="O25" s="6"/>
      <c r="P25" s="6"/>
      <c r="Q25" s="5"/>
      <c r="R25" s="3"/>
      <c r="S25" s="3"/>
    </row>
    <row r="26" spans="1:19" ht="24.75" customHeight="1">
      <c r="A26" s="4">
        <v>46008</v>
      </c>
      <c r="B26" s="3" t="s">
        <v>27</v>
      </c>
      <c r="C26" s="3" t="s">
        <v>28</v>
      </c>
      <c r="D26" s="3" t="s">
        <v>39</v>
      </c>
      <c r="E26" s="3">
        <v>13</v>
      </c>
      <c r="F26" s="9">
        <f>CONVERT(E26,"mm","in")</f>
        <v>0.51181102362204722</v>
      </c>
      <c r="G26" s="3">
        <v>4</v>
      </c>
      <c r="H26" s="9">
        <f>CONVERT(G26,"mm","in")</f>
        <v>0.15748031496062992</v>
      </c>
      <c r="I26" s="3">
        <v>50</v>
      </c>
      <c r="J26" s="9">
        <f>CONVERT(I26,"mm","in")</f>
        <v>1.9685039370078741</v>
      </c>
      <c r="K26" s="3" t="s">
        <v>30</v>
      </c>
      <c r="L26" s="5">
        <v>101</v>
      </c>
      <c r="M26" s="6">
        <v>0</v>
      </c>
      <c r="N26" s="6">
        <f>L26*M26</f>
        <v>0</v>
      </c>
      <c r="O26" s="6"/>
      <c r="P26" s="6"/>
      <c r="Q26" s="5"/>
      <c r="R26" s="3"/>
      <c r="S26" s="3"/>
    </row>
    <row r="27" spans="1:19" ht="24.75" customHeight="1">
      <c r="A27" s="4">
        <v>46008</v>
      </c>
      <c r="B27" s="3" t="s">
        <v>27</v>
      </c>
      <c r="C27" s="3" t="s">
        <v>28</v>
      </c>
      <c r="D27" s="3" t="s">
        <v>39</v>
      </c>
      <c r="E27" s="3">
        <v>7</v>
      </c>
      <c r="F27" s="9">
        <f>CONVERT(E27,"mm","in")</f>
        <v>0.27559055118110237</v>
      </c>
      <c r="G27" s="3">
        <v>4</v>
      </c>
      <c r="H27" s="9">
        <f>CONVERT(G27,"mm","in")</f>
        <v>0.15748031496062992</v>
      </c>
      <c r="I27" s="3">
        <v>35</v>
      </c>
      <c r="J27" s="9">
        <f>CONVERT(I27,"mm","in")</f>
        <v>1.3779527559055118</v>
      </c>
      <c r="K27" s="3" t="s">
        <v>30</v>
      </c>
      <c r="L27" s="5">
        <v>63</v>
      </c>
      <c r="M27" s="6">
        <v>0</v>
      </c>
      <c r="N27" s="6">
        <f>L27*M27</f>
        <v>0</v>
      </c>
      <c r="O27" s="6"/>
      <c r="P27" s="6"/>
      <c r="Q27" s="5"/>
      <c r="R27" s="3"/>
      <c r="S27" s="3"/>
    </row>
    <row r="28" spans="1:19" ht="24.75" customHeight="1">
      <c r="A28" s="4">
        <v>46008</v>
      </c>
      <c r="B28" s="3" t="s">
        <v>27</v>
      </c>
      <c r="C28" s="3" t="s">
        <v>28</v>
      </c>
      <c r="D28" s="3" t="s">
        <v>39</v>
      </c>
      <c r="E28" s="3">
        <v>9</v>
      </c>
      <c r="F28" s="9">
        <f>CONVERT(E28,"mm","in")</f>
        <v>0.3543307086614173</v>
      </c>
      <c r="G28" s="3">
        <v>5</v>
      </c>
      <c r="H28" s="9">
        <f>CONVERT(G28,"mm","in")</f>
        <v>0.19685039370078741</v>
      </c>
      <c r="I28" s="3">
        <v>55</v>
      </c>
      <c r="J28" s="9">
        <f>CONVERT(I28,"mm","in")</f>
        <v>2.1653543307086616</v>
      </c>
      <c r="K28" s="3" t="s">
        <v>30</v>
      </c>
      <c r="L28" s="5">
        <v>14</v>
      </c>
      <c r="M28" s="6">
        <v>0</v>
      </c>
      <c r="N28" s="6">
        <f>L28*M28</f>
        <v>0</v>
      </c>
      <c r="O28" s="6"/>
      <c r="P28" s="6"/>
      <c r="Q28" s="5"/>
      <c r="R28" s="3"/>
      <c r="S28" s="3"/>
    </row>
    <row r="29" spans="1:19" ht="24.75" customHeight="1">
      <c r="A29" s="4">
        <v>46008</v>
      </c>
      <c r="B29" s="3" t="s">
        <v>27</v>
      </c>
      <c r="C29" s="3" t="s">
        <v>28</v>
      </c>
      <c r="D29" s="3" t="s">
        <v>39</v>
      </c>
      <c r="E29" s="3">
        <v>7</v>
      </c>
      <c r="F29" s="9">
        <f>CONVERT(E29,"mm","in")</f>
        <v>0.27559055118110237</v>
      </c>
      <c r="G29" s="3">
        <v>4</v>
      </c>
      <c r="H29" s="9">
        <f>CONVERT(G29,"mm","in")</f>
        <v>0.15748031496062992</v>
      </c>
      <c r="I29" s="3">
        <v>35</v>
      </c>
      <c r="J29" s="9">
        <f>CONVERT(I29,"mm","in")</f>
        <v>1.3779527559055118</v>
      </c>
      <c r="K29" s="3" t="s">
        <v>30</v>
      </c>
      <c r="L29" s="5">
        <v>44</v>
      </c>
      <c r="M29" s="6">
        <v>0</v>
      </c>
      <c r="N29" s="6">
        <f>L29*M29</f>
        <v>0</v>
      </c>
      <c r="O29" s="6"/>
      <c r="P29" s="6"/>
      <c r="Q29" s="5"/>
      <c r="R29" s="3"/>
      <c r="S29" s="3"/>
    </row>
    <row r="30" spans="1:19" ht="24.75" customHeight="1">
      <c r="A30" s="4">
        <v>46008</v>
      </c>
      <c r="B30" s="3" t="s">
        <v>27</v>
      </c>
      <c r="C30" s="3" t="s">
        <v>28</v>
      </c>
      <c r="D30" s="3" t="s">
        <v>39</v>
      </c>
      <c r="E30" s="3">
        <v>10</v>
      </c>
      <c r="F30" s="9">
        <f>CONVERT(E30,"mm","in")</f>
        <v>0.39370078740157483</v>
      </c>
      <c r="G30" s="3">
        <v>5</v>
      </c>
      <c r="H30" s="9">
        <f>CONVERT(G30,"mm","in")</f>
        <v>0.19685039370078741</v>
      </c>
      <c r="I30" s="3">
        <v>55</v>
      </c>
      <c r="J30" s="9">
        <f>CONVERT(I30,"mm","in")</f>
        <v>2.1653543307086616</v>
      </c>
      <c r="K30" s="3" t="s">
        <v>30</v>
      </c>
      <c r="L30" s="5">
        <v>25</v>
      </c>
      <c r="M30" s="6">
        <v>0</v>
      </c>
      <c r="N30" s="6">
        <f>L30*M30</f>
        <v>0</v>
      </c>
      <c r="O30" s="6"/>
      <c r="P30" s="6"/>
      <c r="Q30" s="5"/>
      <c r="R30" s="3"/>
      <c r="S30" s="3"/>
    </row>
    <row r="31" spans="1:19" ht="24.75" customHeight="1">
      <c r="A31" s="4">
        <v>46008</v>
      </c>
      <c r="B31" s="3" t="s">
        <v>27</v>
      </c>
      <c r="C31" s="3" t="s">
        <v>31</v>
      </c>
      <c r="D31" s="3" t="s">
        <v>29</v>
      </c>
      <c r="E31" s="3">
        <v>7</v>
      </c>
      <c r="F31" s="9">
        <f>CONVERT(E31,"mm","in")</f>
        <v>0.27559055118110237</v>
      </c>
      <c r="G31" s="3">
        <v>4</v>
      </c>
      <c r="H31" s="9">
        <f>CONVERT(G31,"mm","in")</f>
        <v>0.15748031496062992</v>
      </c>
      <c r="I31" s="3">
        <v>15</v>
      </c>
      <c r="J31" s="9">
        <f>CONVERT(I31,"mm","in")</f>
        <v>0.59055118110236215</v>
      </c>
      <c r="K31" s="3" t="s">
        <v>30</v>
      </c>
      <c r="L31" s="5">
        <v>109</v>
      </c>
      <c r="M31" s="6">
        <v>0</v>
      </c>
      <c r="N31" s="6">
        <f>L31*M31</f>
        <v>0</v>
      </c>
      <c r="O31" s="6"/>
      <c r="P31" s="6"/>
      <c r="Q31" s="5"/>
      <c r="R31" s="3"/>
      <c r="S31" s="3"/>
    </row>
    <row r="32" spans="1:19" ht="24.75" customHeight="1">
      <c r="A32" s="4">
        <v>46008</v>
      </c>
      <c r="B32" s="3" t="s">
        <v>27</v>
      </c>
      <c r="C32" s="3" t="s">
        <v>31</v>
      </c>
      <c r="D32" s="3" t="s">
        <v>39</v>
      </c>
      <c r="E32" s="3">
        <v>8</v>
      </c>
      <c r="F32" s="9">
        <f>CONVERT(E32,"mm","in")</f>
        <v>0.31496062992125984</v>
      </c>
      <c r="G32" s="3">
        <v>4</v>
      </c>
      <c r="H32" s="9">
        <f>CONVERT(G32,"mm","in")</f>
        <v>0.15748031496062992</v>
      </c>
      <c r="I32" s="3">
        <v>30</v>
      </c>
      <c r="J32" s="9">
        <f>CONVERT(I32,"mm","in")</f>
        <v>1.1811023622047243</v>
      </c>
      <c r="K32" s="3" t="s">
        <v>30</v>
      </c>
      <c r="L32" s="5">
        <v>342</v>
      </c>
      <c r="M32" s="6">
        <v>0</v>
      </c>
      <c r="N32" s="6">
        <f>L32*M32</f>
        <v>0</v>
      </c>
      <c r="O32" s="6"/>
      <c r="P32" s="6"/>
      <c r="Q32" s="5"/>
      <c r="R32" s="3"/>
      <c r="S32" s="3"/>
    </row>
    <row r="33" spans="1:19" ht="24.75" customHeight="1">
      <c r="A33" s="4">
        <v>46008</v>
      </c>
      <c r="B33" s="3" t="s">
        <v>27</v>
      </c>
      <c r="C33" s="3" t="s">
        <v>28</v>
      </c>
      <c r="D33" s="3" t="s">
        <v>39</v>
      </c>
      <c r="E33" s="3">
        <v>5</v>
      </c>
      <c r="F33" s="9">
        <f>CONVERT(E33,"mm","in")</f>
        <v>0.19685039370078741</v>
      </c>
      <c r="G33" s="3">
        <v>3</v>
      </c>
      <c r="H33" s="9">
        <f>CONVERT(G33,"mm","in")</f>
        <v>0.11811023622047245</v>
      </c>
      <c r="I33" s="3">
        <v>5</v>
      </c>
      <c r="J33" s="9">
        <f>CONVERT(I33,"mm","in")</f>
        <v>0.19685039370078741</v>
      </c>
      <c r="K33" s="3" t="s">
        <v>30</v>
      </c>
      <c r="L33" s="5">
        <v>288</v>
      </c>
      <c r="M33" s="6">
        <v>0</v>
      </c>
      <c r="N33" s="6">
        <f>L33*M33</f>
        <v>0</v>
      </c>
      <c r="O33" s="6"/>
      <c r="P33" s="6"/>
      <c r="Q33" s="5"/>
      <c r="R33" s="3"/>
      <c r="S33" s="3"/>
    </row>
    <row r="34" spans="1:19" ht="24.75" customHeight="1">
      <c r="A34" s="4">
        <v>46008</v>
      </c>
      <c r="B34" s="3" t="s">
        <v>27</v>
      </c>
      <c r="C34" s="3" t="s">
        <v>28</v>
      </c>
      <c r="D34" s="3" t="s">
        <v>39</v>
      </c>
      <c r="E34" s="3">
        <v>7</v>
      </c>
      <c r="F34" s="9">
        <f>CONVERT(E34,"mm","in")</f>
        <v>0.27559055118110237</v>
      </c>
      <c r="G34" s="3">
        <v>3</v>
      </c>
      <c r="H34" s="9">
        <f>CONVERT(G34,"mm","in")</f>
        <v>0.11811023622047245</v>
      </c>
      <c r="I34" s="3">
        <v>25</v>
      </c>
      <c r="J34" s="9">
        <f>CONVERT(I34,"mm","in")</f>
        <v>0.98425196850393704</v>
      </c>
      <c r="K34" s="3" t="s">
        <v>30</v>
      </c>
      <c r="L34" s="5">
        <v>410</v>
      </c>
      <c r="M34" s="6">
        <v>0</v>
      </c>
      <c r="N34" s="6">
        <f>L34*M34</f>
        <v>0</v>
      </c>
      <c r="O34" s="6"/>
      <c r="P34" s="6"/>
      <c r="Q34" s="5"/>
      <c r="R34" s="3"/>
      <c r="S34" s="3"/>
    </row>
    <row r="35" spans="1:19" ht="24.75" customHeight="1">
      <c r="A35" s="4">
        <v>46008</v>
      </c>
      <c r="B35" s="3" t="s">
        <v>27</v>
      </c>
      <c r="C35" s="3" t="s">
        <v>31</v>
      </c>
      <c r="D35" s="3" t="s">
        <v>39</v>
      </c>
      <c r="E35" s="3">
        <v>6</v>
      </c>
      <c r="F35" s="9">
        <f>CONVERT(E35,"mm","in")</f>
        <v>0.23622047244094491</v>
      </c>
      <c r="G35" s="3">
        <v>4</v>
      </c>
      <c r="H35" s="9">
        <f>CONVERT(G35,"mm","in")</f>
        <v>0.15748031496062992</v>
      </c>
      <c r="I35" s="3">
        <v>20</v>
      </c>
      <c r="J35" s="9">
        <f>CONVERT(I35,"mm","in")</f>
        <v>0.78740157480314965</v>
      </c>
      <c r="K35" s="3" t="s">
        <v>30</v>
      </c>
      <c r="L35" s="5">
        <v>207</v>
      </c>
      <c r="M35" s="6">
        <v>0</v>
      </c>
      <c r="N35" s="6">
        <f>L35*M35</f>
        <v>0</v>
      </c>
      <c r="O35" s="6"/>
      <c r="P35" s="6"/>
      <c r="Q35" s="5"/>
      <c r="R35" s="3"/>
      <c r="S35" s="3"/>
    </row>
    <row r="36" spans="1:19" ht="24.75" customHeight="1">
      <c r="A36" s="4">
        <v>46008</v>
      </c>
      <c r="B36" s="3" t="s">
        <v>27</v>
      </c>
      <c r="C36" s="3" t="s">
        <v>31</v>
      </c>
      <c r="D36" s="3" t="s">
        <v>39</v>
      </c>
      <c r="E36" s="3">
        <v>10</v>
      </c>
      <c r="F36" s="9">
        <f>CONVERT(E36,"mm","in")</f>
        <v>0.39370078740157483</v>
      </c>
      <c r="G36" s="3">
        <v>5</v>
      </c>
      <c r="H36" s="9">
        <f>CONVERT(G36,"mm","in")</f>
        <v>0.19685039370078741</v>
      </c>
      <c r="I36" s="3">
        <v>40</v>
      </c>
      <c r="J36" s="9">
        <f>CONVERT(I36,"mm","in")</f>
        <v>1.5748031496062993</v>
      </c>
      <c r="K36" s="3" t="s">
        <v>30</v>
      </c>
      <c r="L36" s="5">
        <v>8</v>
      </c>
      <c r="M36" s="6">
        <v>0</v>
      </c>
      <c r="N36" s="6">
        <f>L36*M36</f>
        <v>0</v>
      </c>
      <c r="O36" s="6"/>
      <c r="P36" s="6"/>
      <c r="Q36" s="5"/>
      <c r="R36" s="3"/>
      <c r="S36" s="3"/>
    </row>
    <row r="37" spans="1:19" ht="24.75" customHeight="1">
      <c r="A37" s="4">
        <v>46008</v>
      </c>
      <c r="B37" s="3" t="s">
        <v>27</v>
      </c>
      <c r="C37" s="3" t="s">
        <v>31</v>
      </c>
      <c r="D37" s="3" t="s">
        <v>39</v>
      </c>
      <c r="E37" s="3">
        <v>9</v>
      </c>
      <c r="F37" s="9">
        <f>CONVERT(E37,"mm","in")</f>
        <v>0.3543307086614173</v>
      </c>
      <c r="G37" s="3">
        <v>5</v>
      </c>
      <c r="H37" s="9">
        <f>CONVERT(G37,"mm","in")</f>
        <v>0.19685039370078741</v>
      </c>
      <c r="I37" s="3">
        <v>25</v>
      </c>
      <c r="J37" s="9">
        <f>CONVERT(I37,"mm","in")</f>
        <v>0.98425196850393704</v>
      </c>
      <c r="K37" s="3" t="s">
        <v>30</v>
      </c>
      <c r="L37" s="5">
        <v>5</v>
      </c>
      <c r="M37" s="6">
        <v>0</v>
      </c>
      <c r="N37" s="6">
        <f>L37*M37</f>
        <v>0</v>
      </c>
      <c r="O37" s="6"/>
      <c r="P37" s="6"/>
      <c r="Q37" s="5"/>
      <c r="R37" s="3"/>
      <c r="S37" s="3"/>
    </row>
    <row r="38" spans="1:19" ht="24.75" customHeight="1">
      <c r="A38" s="4">
        <v>46009</v>
      </c>
      <c r="B38" s="3" t="s">
        <v>44</v>
      </c>
      <c r="C38" s="3" t="s">
        <v>45</v>
      </c>
      <c r="D38" s="3" t="s">
        <v>43</v>
      </c>
      <c r="E38" s="3" t="s">
        <v>35</v>
      </c>
      <c r="F38" s="9" t="s">
        <v>35</v>
      </c>
      <c r="G38" s="3" t="s">
        <v>35</v>
      </c>
      <c r="H38" s="9" t="s">
        <v>35</v>
      </c>
      <c r="I38" s="3" t="s">
        <v>35</v>
      </c>
      <c r="J38" s="9" t="s">
        <v>35</v>
      </c>
      <c r="K38" s="3" t="s">
        <v>30</v>
      </c>
      <c r="L38" s="5">
        <v>3033</v>
      </c>
      <c r="M38" s="6">
        <v>0</v>
      </c>
      <c r="N38" s="6">
        <f>L38*M38</f>
        <v>0</v>
      </c>
      <c r="O38" s="6"/>
      <c r="P38" s="6"/>
      <c r="Q38" s="5"/>
      <c r="R38" s="3"/>
      <c r="S38" s="3"/>
    </row>
    <row r="39" spans="1:19" ht="24.75" customHeight="1">
      <c r="A39" s="4">
        <v>46009</v>
      </c>
      <c r="B39" s="3" t="s">
        <v>46</v>
      </c>
      <c r="C39" s="3"/>
      <c r="D39" s="3" t="s">
        <v>47</v>
      </c>
      <c r="E39" s="3" t="s">
        <v>35</v>
      </c>
      <c r="F39" s="9" t="s">
        <v>35</v>
      </c>
      <c r="G39" s="3" t="s">
        <v>35</v>
      </c>
      <c r="H39" s="9" t="s">
        <v>35</v>
      </c>
      <c r="I39" s="3" t="s">
        <v>35</v>
      </c>
      <c r="J39" s="9" t="s">
        <v>35</v>
      </c>
      <c r="K39" s="3" t="s">
        <v>30</v>
      </c>
      <c r="L39" s="5">
        <v>288</v>
      </c>
      <c r="M39" s="6">
        <v>0</v>
      </c>
      <c r="N39" s="6">
        <f>L39*M39</f>
        <v>0</v>
      </c>
      <c r="O39" s="6"/>
      <c r="P39" s="6"/>
      <c r="Q39" s="5"/>
      <c r="R39" s="3"/>
      <c r="S39" s="3"/>
    </row>
    <row r="40" spans="1:19" ht="24.75" customHeight="1">
      <c r="A40" s="4">
        <v>46009</v>
      </c>
      <c r="B40" s="3" t="s">
        <v>48</v>
      </c>
      <c r="C40" s="3"/>
      <c r="D40" s="3" t="s">
        <v>47</v>
      </c>
      <c r="E40" s="3" t="s">
        <v>35</v>
      </c>
      <c r="F40" s="9" t="s">
        <v>35</v>
      </c>
      <c r="G40" s="3" t="s">
        <v>35</v>
      </c>
      <c r="H40" s="9" t="s">
        <v>35</v>
      </c>
      <c r="I40" s="3" t="s">
        <v>35</v>
      </c>
      <c r="J40" s="9" t="s">
        <v>35</v>
      </c>
      <c r="K40" s="3" t="s">
        <v>30</v>
      </c>
      <c r="L40" s="5">
        <v>3974</v>
      </c>
      <c r="M40" s="6">
        <v>0</v>
      </c>
      <c r="N40" s="6">
        <f>L40*M40</f>
        <v>0</v>
      </c>
      <c r="O40" s="6"/>
      <c r="P40" s="6"/>
      <c r="Q40" s="5"/>
      <c r="R40" s="3"/>
      <c r="S40" s="3"/>
    </row>
    <row r="41" spans="1:19" ht="24.75" customHeight="1">
      <c r="A41" s="4">
        <v>46009</v>
      </c>
      <c r="B41" s="3" t="s">
        <v>49</v>
      </c>
      <c r="C41" s="3"/>
      <c r="D41" s="3" t="s">
        <v>47</v>
      </c>
      <c r="E41" s="3" t="s">
        <v>35</v>
      </c>
      <c r="F41" s="9" t="s">
        <v>35</v>
      </c>
      <c r="G41" s="3" t="s">
        <v>35</v>
      </c>
      <c r="H41" s="9" t="s">
        <v>35</v>
      </c>
      <c r="I41" s="3" t="s">
        <v>35</v>
      </c>
      <c r="J41" s="9" t="s">
        <v>35</v>
      </c>
      <c r="K41" s="3" t="s">
        <v>30</v>
      </c>
      <c r="L41" s="5">
        <v>236</v>
      </c>
      <c r="M41" s="6">
        <v>0</v>
      </c>
      <c r="N41" s="6">
        <f>L41*M41</f>
        <v>0</v>
      </c>
      <c r="O41" s="6"/>
      <c r="P41" s="6"/>
      <c r="Q41" s="5"/>
      <c r="R41" s="3"/>
      <c r="S41" s="3"/>
    </row>
    <row r="42" spans="1:19" ht="24.75" customHeight="1">
      <c r="A42" s="4">
        <v>46009</v>
      </c>
      <c r="B42" s="3" t="s">
        <v>50</v>
      </c>
      <c r="C42" s="3"/>
      <c r="D42" s="3" t="s">
        <v>47</v>
      </c>
      <c r="E42" s="3" t="s">
        <v>35</v>
      </c>
      <c r="F42" s="9" t="s">
        <v>35</v>
      </c>
      <c r="G42" s="3" t="s">
        <v>35</v>
      </c>
      <c r="H42" s="9" t="s">
        <v>35</v>
      </c>
      <c r="I42" s="3" t="s">
        <v>35</v>
      </c>
      <c r="J42" s="9" t="s">
        <v>35</v>
      </c>
      <c r="K42" s="3" t="s">
        <v>30</v>
      </c>
      <c r="L42" s="5">
        <v>343</v>
      </c>
      <c r="M42" s="6">
        <v>0</v>
      </c>
      <c r="N42" s="6">
        <f>L42*M42</f>
        <v>0</v>
      </c>
      <c r="O42" s="6"/>
      <c r="P42" s="6"/>
      <c r="Q42" s="5"/>
      <c r="R42" s="3"/>
      <c r="S42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2025-12-05T15:01:49Z</dcterms:created>
  <dcterms:modified xsi:type="dcterms:W3CDTF">2025-12-18T16:42:00Z</dcterms:modified>
  <cp:category/>
  <cp:contentStatus/>
</cp:coreProperties>
</file>